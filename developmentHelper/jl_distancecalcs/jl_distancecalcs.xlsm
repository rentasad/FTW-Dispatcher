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IT\3070-040 IT-Entwicklung\VBA\FtwManager\jl_distancecalcs\"/>
    </mc:Choice>
  </mc:AlternateContent>
  <xr:revisionPtr revIDLastSave="0" documentId="13_ncr:1_{EDEFCC55-9D28-4025-A7CB-E2314C537542}" xr6:coauthVersionLast="47" xr6:coauthVersionMax="47" xr10:uidLastSave="{00000000-0000-0000-0000-000000000000}"/>
  <bookViews>
    <workbookView xWindow="-120" yWindow="-120" windowWidth="20730" windowHeight="11310" activeTab="2" xr2:uid="{00000000-000D-0000-FFFF-FFFF00000000}"/>
  </bookViews>
  <sheets>
    <sheet name="Instructions" sheetId="6" r:id="rId1"/>
    <sheet name="Vincenty_Degree" sheetId="1" r:id="rId2"/>
    <sheet name="DecimalLatLong" sheetId="9" r:id="rId3"/>
    <sheet name="MyLinks" sheetId="8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" i="9" l="1"/>
  <c r="D5" i="1"/>
  <c r="B5" i="9" l="1" a="1"/>
  <c r="B5" i="1"/>
  <c r="B8" i="1" l="1"/>
  <c r="B10" i="1"/>
  <c r="B9" i="1"/>
  <c r="B12" i="1"/>
  <c r="B11" i="1"/>
  <c r="B5" i="9"/>
  <c r="B12" i="9" l="1"/>
  <c r="B9" i="9"/>
  <c r="B10" i="9"/>
  <c r="B8" i="9"/>
  <c r="B11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JLatham</author>
  </authors>
  <commentList>
    <comment ref="C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JLatham:</t>
        </r>
        <r>
          <rPr>
            <sz val="9"/>
            <color indexed="81"/>
            <rFont val="Tahoma"/>
            <family val="2"/>
          </rPr>
          <t xml:space="preserve">
Forward Azimuth is initial heading along the GC route.  Will require adjustment along the path.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JLatham</author>
  </authors>
  <commentList>
    <comment ref="C5" authorId="0" shapeId="0" xr:uid="{9D9B0372-D714-4378-8A6F-3F71E0D14ED0}">
      <text>
        <r>
          <rPr>
            <b/>
            <sz val="9"/>
            <color indexed="81"/>
            <rFont val="Tahoma"/>
            <family val="2"/>
          </rPr>
          <t>JLatham:</t>
        </r>
        <r>
          <rPr>
            <sz val="9"/>
            <color indexed="81"/>
            <rFont val="Tahoma"/>
            <family val="2"/>
          </rPr>
          <t xml:space="preserve">
Forward Azimuth is initial heading along the GC route.  Will require adjustment along the path.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<sst xmlns="http://schemas.openxmlformats.org/spreadsheetml/2006/main" count="84" uniqueCount="53">
  <si>
    <t xml:space="preserve">Origin Point </t>
  </si>
  <si>
    <t>Latitude</t>
  </si>
  <si>
    <t>Longitude</t>
  </si>
  <si>
    <t>Destination Point</t>
  </si>
  <si>
    <t>Distance in Meters:</t>
  </si>
  <si>
    <t>37~ 57' 3.7203" S</t>
  </si>
  <si>
    <t>143~ 55' 35.3839" E</t>
  </si>
  <si>
    <t>conversions to other measurements:</t>
  </si>
  <si>
    <t>To Statute Miles</t>
  </si>
  <si>
    <t>To Nautical Miles</t>
  </si>
  <si>
    <t>To Kilometers</t>
  </si>
  <si>
    <t>To Feet</t>
  </si>
  <si>
    <t>To Inches</t>
  </si>
  <si>
    <t>37° 39' 10.1561" S</t>
  </si>
  <si>
    <t>144° 25' 29.5244" E</t>
  </si>
  <si>
    <t>Bearing via ATAN2:</t>
  </si>
  <si>
    <t>Forward Azimuth ATAN2:</t>
  </si>
  <si>
    <t>Note on Forward Azimuth:</t>
  </si>
  <si>
    <t>Forward Azimuth is the initial heading along the Great Circle path.</t>
  </si>
  <si>
    <t>Since the GC path is an arc across a sphere, it requires adjustments during the transit.</t>
  </si>
  <si>
    <t>For example, flying from Baghdad to Osaka, the Forward Azimuth is 60, but at the</t>
  </si>
  <si>
    <t>end of the trip the heading will be 120.</t>
  </si>
  <si>
    <t>This bearing is relative to True North and would no doubt require adjustments</t>
  </si>
  <si>
    <t>if using a magnetic compass.</t>
  </si>
  <si>
    <t>Reference Test Values and Expected Results</t>
  </si>
  <si>
    <t>Correct Results (distance in meters)</t>
  </si>
  <si>
    <t>Contextures Excel Tips Website</t>
  </si>
  <si>
    <t>Contextures Excel Blog</t>
  </si>
  <si>
    <t>Excel Pivot Tables Blog</t>
  </si>
  <si>
    <t>Contextures Recommends</t>
  </si>
  <si>
    <t>Contextures Sites &amp; News</t>
  </si>
  <si>
    <t>Hundreds of tutorials, tips and sample files</t>
  </si>
  <si>
    <t>Pivot table tutorials and tips, with comments and questions</t>
  </si>
  <si>
    <t>Related tutorials</t>
  </si>
  <si>
    <t>Online Instruction Page</t>
  </si>
  <si>
    <t>Calculate Distance in Excel</t>
  </si>
  <si>
    <t>Copy Macros to workbook</t>
  </si>
  <si>
    <t>Notes</t>
  </si>
  <si>
    <t>37~57'3.7203"S</t>
  </si>
  <si>
    <t>ý</t>
  </si>
  <si>
    <t>þ</t>
  </si>
  <si>
    <r>
      <t xml:space="preserve">Type a </t>
    </r>
    <r>
      <rPr>
        <b/>
        <sz val="14"/>
        <color theme="1"/>
        <rFont val="Calibri"/>
        <family val="2"/>
        <scheme val="minor"/>
      </rPr>
      <t>space character</t>
    </r>
    <r>
      <rPr>
        <sz val="14"/>
        <color theme="1"/>
        <rFont val="Calibri"/>
        <family val="2"/>
        <scheme val="minor"/>
      </rPr>
      <t xml:space="preserve"> after each mark in the lat/long</t>
    </r>
  </si>
  <si>
    <t>Excel Functions</t>
  </si>
  <si>
    <t>Excel tutorials and tips, with comments and questions</t>
  </si>
  <si>
    <t>Excel Products</t>
  </si>
  <si>
    <t>Excel tools and training, recommended by Debra</t>
  </si>
  <si>
    <t>On the Vincenty_Degree page:</t>
  </si>
  <si>
    <t xml:space="preserve">1) </t>
  </si>
  <si>
    <t xml:space="preserve">2) </t>
  </si>
  <si>
    <r>
      <t xml:space="preserve">In the formulas, the </t>
    </r>
    <r>
      <rPr>
        <b/>
        <i/>
        <sz val="14"/>
        <color theme="1"/>
        <rFont val="Calibri"/>
        <family val="2"/>
        <scheme val="minor"/>
      </rPr>
      <t>SignIt</t>
    </r>
    <r>
      <rPr>
        <sz val="14"/>
        <color theme="1"/>
        <rFont val="Calibri"/>
        <family val="2"/>
        <scheme val="minor"/>
      </rPr>
      <t xml:space="preserve"> function has been removed</t>
    </r>
  </si>
  <si>
    <t>On the DecimalLatLong page:</t>
  </si>
  <si>
    <t>Enter lat/long as decimal numbers</t>
  </si>
  <si>
    <r>
      <t xml:space="preserve">Thanks to </t>
    </r>
    <r>
      <rPr>
        <b/>
        <i/>
        <sz val="14"/>
        <color theme="1"/>
        <rFont val="Calibri"/>
        <family val="2"/>
        <scheme val="minor"/>
      </rPr>
      <t>Jerry Latham</t>
    </r>
    <r>
      <rPr>
        <i/>
        <sz val="14"/>
        <color theme="1"/>
        <rFont val="Calibri"/>
        <family val="2"/>
        <scheme val="minor"/>
      </rPr>
      <t xml:space="preserve"> for contributing this sample file.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</si>
</sst>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(* #,##0.00000000_);_(* \(#,##0.00000000\);_(* &quot;-&quot;??_);_(@_)"/>
  </numFmts>
  <fonts count="24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sz val="8"/>
      <name val="Calibri"/>
      <family val="2"/>
    </font>
    <font>
      <sz val="9.9"/>
      <color indexed="63"/>
      <name val="Lucida Console"/>
      <family val="3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indexed="8"/>
      <name val="Calibri"/>
      <family val="2"/>
    </font>
    <font>
      <u/>
      <sz val="11"/>
      <color indexed="12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rgb="FFFF0000"/>
      <name val="Wingdings"/>
      <charset val="2"/>
    </font>
    <font>
      <sz val="16"/>
      <color rgb="FF00B050"/>
      <name val="Wingdings"/>
      <charset val="2"/>
    </font>
    <font>
      <sz val="11"/>
      <name val="Calibri"/>
      <family val="2"/>
    </font>
    <font>
      <b/>
      <sz val="14"/>
      <name val="Calibri"/>
      <family val="2"/>
    </font>
    <font>
      <u/>
      <sz val="12"/>
      <color indexed="12"/>
      <name val="Calibri"/>
      <family val="2"/>
      <scheme val="minor"/>
    </font>
    <font>
      <sz val="14"/>
      <name val="Calibri"/>
      <family val="2"/>
    </font>
    <font>
      <b/>
      <i/>
      <sz val="14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9">
    <border>
      <left/>
      <right/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164" fontId="4" fillId="0" borderId="0" applyFont="0" applyFill="0" applyBorder="0" applyAlignment="0" applyProtection="0"/>
    <xf numFmtId="0" fontId="11" fillId="0" borderId="0" applyNumberFormat="0" applyFill="0" applyBorder="0" applyAlignment="0" applyProtection="0">
      <alignment horizontal="left" indent="1"/>
    </xf>
    <xf numFmtId="0" fontId="18" fillId="0" borderId="0"/>
  </cellStyleXfs>
  <cellXfs count="35">
    <xf numFmtId="0" fontId="0" fillId="0" borderId="0" xfId="0"/>
    <xf numFmtId="0" fontId="0" fillId="0" borderId="0" xfId="0" applyFill="1" applyBorder="1"/>
    <xf numFmtId="0" fontId="5" fillId="0" borderId="0" xfId="0" applyFont="1"/>
    <xf numFmtId="165" fontId="10" fillId="0" borderId="0" xfId="1" applyNumberFormat="1" applyFont="1"/>
    <xf numFmtId="0" fontId="7" fillId="0" borderId="0" xfId="0" applyFont="1"/>
    <xf numFmtId="0" fontId="0" fillId="0" borderId="0" xfId="0"/>
    <xf numFmtId="0" fontId="11" fillId="0" borderId="0" xfId="2" applyAlignment="1"/>
    <xf numFmtId="0" fontId="11" fillId="0" borderId="0" xfId="2" applyAlignment="1" applyProtection="1"/>
    <xf numFmtId="0" fontId="0" fillId="3" borderId="3" xfId="0" applyFill="1" applyBorder="1"/>
    <xf numFmtId="0" fontId="0" fillId="3" borderId="4" xfId="0" applyFill="1" applyBorder="1"/>
    <xf numFmtId="0" fontId="0" fillId="3" borderId="2" xfId="0" applyFill="1" applyBorder="1"/>
    <xf numFmtId="0" fontId="0" fillId="3" borderId="5" xfId="0" applyFill="1" applyBorder="1"/>
    <xf numFmtId="0" fontId="0" fillId="2" borderId="1" xfId="0" applyFill="1" applyBorder="1" applyAlignment="1">
      <alignment horizontal="center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5" fillId="0" borderId="0" xfId="0" applyFont="1"/>
    <xf numFmtId="0" fontId="16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12" fillId="0" borderId="0" xfId="3" applyFont="1" applyAlignment="1">
      <alignment horizontal="left"/>
    </xf>
    <xf numFmtId="0" fontId="18" fillId="0" borderId="0" xfId="3"/>
    <xf numFmtId="0" fontId="13" fillId="0" borderId="0" xfId="3" applyFont="1" applyAlignment="1">
      <alignment horizontal="left"/>
    </xf>
    <xf numFmtId="0" fontId="18" fillId="0" borderId="0" xfId="3" applyAlignment="1">
      <alignment horizontal="left"/>
    </xf>
    <xf numFmtId="0" fontId="3" fillId="0" borderId="0" xfId="0" applyFont="1" applyAlignment="1">
      <alignment horizontal="left" indent="1"/>
    </xf>
    <xf numFmtId="0" fontId="14" fillId="0" borderId="0" xfId="0" applyFont="1" applyAlignment="1">
      <alignment horizontal="left" vertical="center" indent="2"/>
    </xf>
    <xf numFmtId="0" fontId="0" fillId="0" borderId="0" xfId="0" applyAlignment="1">
      <alignment horizontal="left" indent="1"/>
    </xf>
    <xf numFmtId="0" fontId="2" fillId="0" borderId="0" xfId="0" applyFont="1"/>
    <xf numFmtId="0" fontId="19" fillId="0" borderId="0" xfId="0" applyFont="1"/>
    <xf numFmtId="0" fontId="2" fillId="0" borderId="0" xfId="0" applyFont="1" applyAlignment="1">
      <alignment horizontal="right"/>
    </xf>
    <xf numFmtId="0" fontId="20" fillId="0" borderId="0" xfId="2" applyFont="1" applyAlignment="1" applyProtection="1"/>
    <xf numFmtId="0" fontId="20" fillId="0" borderId="0" xfId="2" applyFont="1" applyAlignment="1" applyProtection="1">
      <alignment horizontal="left"/>
    </xf>
    <xf numFmtId="0" fontId="2" fillId="0" borderId="0" xfId="0" applyFont="1" applyAlignment="1">
      <alignment horizontal="left" indent="1"/>
    </xf>
    <xf numFmtId="0" fontId="2" fillId="4" borderId="0" xfId="0" applyFont="1" applyFill="1"/>
    <xf numFmtId="0" fontId="21" fillId="5" borderId="0" xfId="0" applyFont="1" applyFill="1"/>
    <xf numFmtId="0" fontId="23" fillId="0" borderId="0" xfId="0" applyFont="1"/>
  </cellXfs>
  <cellStyles count="4">
    <cellStyle name="Ctx_Hyperlink" xfId="2" xr:uid="{00000000-0005-0000-0000-000001000000}"/>
    <cellStyle name="Komma" xfId="1" builtinId="3"/>
    <cellStyle name="Normal 2" xfId="3" xr:uid="{0F28077B-11D5-4953-B7DA-2A09E513B64F}"/>
    <cellStyle name="Standard" xfId="0" builtinId="0"/>
  </cellStyles>
  <dxfs count="0"/>
  <tableStyles count="0" defaultTableStyle="TableStyleMedium2" defaultPivotStyle="PivotStyleLight16"/>
  <colors>
    <mruColors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contextures.com/index.html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129540</xdr:colOff>
      <xdr:row>0</xdr:row>
      <xdr:rowOff>68580</xdr:rowOff>
    </xdr:from>
    <xdr:ext cx="2150746" cy="377190"/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F7FC79A-A002-45D2-A82A-58AA02DBF2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540" y="68580"/>
          <a:ext cx="2150746" cy="37719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ontextures.com/xlvba01.html" TargetMode="External"/><Relationship Id="rId2" Type="http://schemas.openxmlformats.org/officeDocument/2006/relationships/hyperlink" Target="https://www.contextures.com/excellatitudelongitude.html" TargetMode="External"/><Relationship Id="rId1" Type="http://schemas.openxmlformats.org/officeDocument/2006/relationships/hyperlink" Target="https://www.contextures.com/functions.html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contexturesblog.com/" TargetMode="External"/><Relationship Id="rId2" Type="http://schemas.openxmlformats.org/officeDocument/2006/relationships/hyperlink" Target="https://www.pivot-table.com/" TargetMode="External"/><Relationship Id="rId1" Type="http://schemas.openxmlformats.org/officeDocument/2006/relationships/hyperlink" Target="https://www.contextures.com/tiptech.html" TargetMode="Externa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https://www.contextures.com/ctxrm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B0170-C868-4A06-8876-33410839802C}">
  <sheetPr codeName="Sheet2"/>
  <dimension ref="B1:C22"/>
  <sheetViews>
    <sheetView showGridLines="0" workbookViewId="0">
      <pane ySplit="3" topLeftCell="A14" activePane="bottomLeft" state="frozen"/>
      <selection activeCell="A4" sqref="A4"/>
      <selection pane="bottomLeft" activeCell="B6" sqref="B6"/>
    </sheetView>
  </sheetViews>
  <sheetFormatPr baseColWidth="10" defaultColWidth="9.140625" defaultRowHeight="15" x14ac:dyDescent="0.25"/>
  <cols>
    <col min="1" max="1" width="7.140625" style="5" customWidth="1"/>
    <col min="2" max="2" width="4.42578125" style="5" customWidth="1"/>
    <col min="3" max="3" width="37.7109375" style="5" customWidth="1"/>
    <col min="4" max="16384" width="9.140625" style="5"/>
  </cols>
  <sheetData>
    <row r="1" spans="2:3" ht="7.5" customHeight="1" x14ac:dyDescent="0.25"/>
    <row r="4" spans="2:3" ht="9.75" customHeight="1" x14ac:dyDescent="0.25"/>
    <row r="5" spans="2:3" ht="18.75" x14ac:dyDescent="0.3">
      <c r="B5" s="26"/>
      <c r="C5" s="27" t="s">
        <v>34</v>
      </c>
    </row>
    <row r="6" spans="2:3" ht="18.75" x14ac:dyDescent="0.3">
      <c r="B6" s="28"/>
      <c r="C6" s="30" t="s">
        <v>35</v>
      </c>
    </row>
    <row r="7" spans="2:3" ht="9.75" customHeight="1" x14ac:dyDescent="0.3">
      <c r="B7" s="28"/>
      <c r="C7" s="26"/>
    </row>
    <row r="8" spans="2:3" ht="18.75" x14ac:dyDescent="0.3">
      <c r="B8" s="28"/>
      <c r="C8" s="27" t="s">
        <v>33</v>
      </c>
    </row>
    <row r="9" spans="2:3" ht="18.75" x14ac:dyDescent="0.3">
      <c r="B9" s="28"/>
      <c r="C9" s="29" t="s">
        <v>36</v>
      </c>
    </row>
    <row r="10" spans="2:3" ht="18.75" x14ac:dyDescent="0.3">
      <c r="B10" s="28"/>
      <c r="C10" s="29" t="s">
        <v>42</v>
      </c>
    </row>
    <row r="11" spans="2:3" ht="9.75" customHeight="1" x14ac:dyDescent="0.3">
      <c r="B11" s="26"/>
      <c r="C11" s="26"/>
    </row>
    <row r="12" spans="2:3" ht="18.75" x14ac:dyDescent="0.3">
      <c r="B12" s="26"/>
      <c r="C12" s="27" t="s">
        <v>37</v>
      </c>
    </row>
    <row r="13" spans="2:3" ht="18.75" x14ac:dyDescent="0.3">
      <c r="B13" s="28" t="s">
        <v>47</v>
      </c>
      <c r="C13" s="33" t="s">
        <v>46</v>
      </c>
    </row>
    <row r="14" spans="2:3" ht="18.75" x14ac:dyDescent="0.3">
      <c r="C14" s="23" t="s">
        <v>41</v>
      </c>
    </row>
    <row r="15" spans="2:3" ht="19.5" x14ac:dyDescent="0.25">
      <c r="B15" s="18" t="s">
        <v>40</v>
      </c>
      <c r="C15" s="24" t="s">
        <v>5</v>
      </c>
    </row>
    <row r="16" spans="2:3" ht="19.5" x14ac:dyDescent="0.25">
      <c r="B16" s="17" t="s">
        <v>39</v>
      </c>
      <c r="C16" s="24" t="s">
        <v>38</v>
      </c>
    </row>
    <row r="17" spans="2:3" ht="9.75" customHeight="1" x14ac:dyDescent="0.25">
      <c r="C17" s="25"/>
    </row>
    <row r="18" spans="2:3" ht="18.75" x14ac:dyDescent="0.3">
      <c r="B18" s="28" t="s">
        <v>48</v>
      </c>
      <c r="C18" s="32" t="s">
        <v>50</v>
      </c>
    </row>
    <row r="19" spans="2:3" ht="18.75" x14ac:dyDescent="0.3">
      <c r="C19" s="31" t="s">
        <v>51</v>
      </c>
    </row>
    <row r="20" spans="2:3" ht="18.75" x14ac:dyDescent="0.3">
      <c r="C20" s="31" t="s">
        <v>49</v>
      </c>
    </row>
    <row r="22" spans="2:3" ht="18.75" x14ac:dyDescent="0.3">
      <c r="B22" s="34" t="s">
        <v>52</v>
      </c>
    </row>
  </sheetData>
  <hyperlinks>
    <hyperlink ref="C10" r:id="rId1" xr:uid="{00000000-0004-0000-0000-000007000000}"/>
    <hyperlink ref="C6" r:id="rId2" xr:uid="{00000000-0004-0000-0000-000008000000}"/>
    <hyperlink ref="C9" r:id="rId3" display="https://www.contextures.com/xlvba01.html" xr:uid="{7BD02AE9-7ED7-42F5-89B9-2E2B7092DBC2}"/>
  </hyperlinks>
  <pageMargins left="0.7" right="0.7" top="0.75" bottom="0.75" header="0.3" footer="0.3"/>
  <pageSetup orientation="portrait" r:id="rId4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59999389629810485"/>
  </sheetPr>
  <dimension ref="A1:I21"/>
  <sheetViews>
    <sheetView showGridLines="0" workbookViewId="0">
      <selection activeCell="B5" sqref="B5"/>
    </sheetView>
  </sheetViews>
  <sheetFormatPr baseColWidth="10" defaultColWidth="9.140625" defaultRowHeight="15" x14ac:dyDescent="0.25"/>
  <cols>
    <col min="1" max="1" width="21.140625" customWidth="1"/>
    <col min="2" max="2" width="21.5703125" bestFit="1" customWidth="1"/>
    <col min="3" max="3" width="22.85546875" customWidth="1"/>
    <col min="4" max="5" width="10.28515625" customWidth="1"/>
    <col min="6" max="6" width="16.42578125" customWidth="1"/>
    <col min="7" max="7" width="9.140625" customWidth="1"/>
  </cols>
  <sheetData>
    <row r="1" spans="1:9" ht="15.75" thickBot="1" x14ac:dyDescent="0.3">
      <c r="B1" s="2" t="s">
        <v>1</v>
      </c>
      <c r="C1" s="2" t="s">
        <v>2</v>
      </c>
      <c r="F1" s="16" t="s">
        <v>24</v>
      </c>
    </row>
    <row r="2" spans="1:9" ht="15.75" thickTop="1" x14ac:dyDescent="0.25">
      <c r="A2" s="2" t="s">
        <v>0</v>
      </c>
      <c r="B2" s="8" t="s">
        <v>5</v>
      </c>
      <c r="C2" s="9" t="s">
        <v>14</v>
      </c>
      <c r="F2" t="s">
        <v>1</v>
      </c>
      <c r="G2" t="s">
        <v>2</v>
      </c>
    </row>
    <row r="3" spans="1:9" ht="15.75" thickBot="1" x14ac:dyDescent="0.3">
      <c r="A3" s="2" t="s">
        <v>3</v>
      </c>
      <c r="B3" s="10" t="s">
        <v>13</v>
      </c>
      <c r="C3" s="11" t="s">
        <v>6</v>
      </c>
      <c r="F3" s="13" t="s">
        <v>5</v>
      </c>
      <c r="G3" s="14" t="s">
        <v>14</v>
      </c>
      <c r="H3" s="15"/>
    </row>
    <row r="4" spans="1:9" ht="16.5" thickTop="1" thickBot="1" x14ac:dyDescent="0.3">
      <c r="A4" s="2"/>
      <c r="F4" s="13" t="s">
        <v>13</v>
      </c>
      <c r="G4" s="14" t="s">
        <v>6</v>
      </c>
      <c r="H4" s="15"/>
    </row>
    <row r="5" spans="1:9" ht="16.5" thickTop="1" thickBot="1" x14ac:dyDescent="0.3">
      <c r="A5" s="2" t="s">
        <v>4</v>
      </c>
      <c r="B5" s="12">
        <f>distvincenty(signit(B2),signit(C2),signit(B3),signit(C3))</f>
        <v>54972.271000000001</v>
      </c>
      <c r="C5" t="s">
        <v>16</v>
      </c>
      <c r="D5" s="12">
        <f>MOD(DEGREES(ATAN2(COS(signit(B2)*PI()/180)*SIN(signit(B3)*PI()/180)-SIN(signit(B2)*PI()/180)*COS(signit(B3)*PI()/180)*COS(signit(C3)*PI()/180-signit(C2)*PI()/180),SIN(signit(C3)*PI()/180-signit(C2)*PI()/180)*COS(signit(B2)*PI()/180)))+360,360)</f>
        <v>307.09510429343084</v>
      </c>
      <c r="F5" t="s">
        <v>25</v>
      </c>
    </row>
    <row r="6" spans="1:9" ht="15.75" thickTop="1" x14ac:dyDescent="0.25">
      <c r="B6" s="1"/>
      <c r="D6" s="4"/>
      <c r="F6" s="13">
        <v>54972.271000000001</v>
      </c>
      <c r="G6" t="s">
        <v>15</v>
      </c>
      <c r="I6" s="13">
        <v>307.0951</v>
      </c>
    </row>
    <row r="7" spans="1:9" x14ac:dyDescent="0.25">
      <c r="A7" t="s">
        <v>7</v>
      </c>
    </row>
    <row r="8" spans="1:9" x14ac:dyDescent="0.25">
      <c r="A8" t="s">
        <v>8</v>
      </c>
      <c r="B8" s="3">
        <f>((B$5*39.3700787)/12)/5280</f>
        <v>34.158185536422472</v>
      </c>
      <c r="D8" s="5"/>
      <c r="E8" s="5"/>
    </row>
    <row r="9" spans="1:9" x14ac:dyDescent="0.25">
      <c r="A9" t="s">
        <v>9</v>
      </c>
      <c r="B9" s="3">
        <f>((B$5*39.3700787)/12)/6076.11549</f>
        <v>29.682651675916489</v>
      </c>
      <c r="D9" s="5"/>
      <c r="E9" s="5"/>
    </row>
    <row r="10" spans="1:9" x14ac:dyDescent="0.25">
      <c r="A10" t="s">
        <v>10</v>
      </c>
      <c r="B10" s="3">
        <f>B5/1000</f>
        <v>54.972270999999999</v>
      </c>
      <c r="D10" s="5"/>
      <c r="E10" s="5"/>
    </row>
    <row r="11" spans="1:9" x14ac:dyDescent="0.25">
      <c r="A11" t="s">
        <v>11</v>
      </c>
      <c r="B11" s="3">
        <f>(B$5*39.3700787)/12</f>
        <v>180355.21963231065</v>
      </c>
    </row>
    <row r="12" spans="1:9" x14ac:dyDescent="0.25">
      <c r="A12" t="s">
        <v>12</v>
      </c>
      <c r="B12" s="3">
        <f>B$5*39.3700787</f>
        <v>2164262.6355877277</v>
      </c>
    </row>
    <row r="15" spans="1:9" x14ac:dyDescent="0.25">
      <c r="A15" t="s">
        <v>17</v>
      </c>
    </row>
    <row r="16" spans="1:9" x14ac:dyDescent="0.25">
      <c r="B16" t="s">
        <v>18</v>
      </c>
    </row>
    <row r="17" spans="2:2" x14ac:dyDescent="0.25">
      <c r="B17" t="s">
        <v>19</v>
      </c>
    </row>
    <row r="18" spans="2:2" x14ac:dyDescent="0.25">
      <c r="B18" t="s">
        <v>20</v>
      </c>
    </row>
    <row r="19" spans="2:2" x14ac:dyDescent="0.25">
      <c r="B19" t="s">
        <v>21</v>
      </c>
    </row>
    <row r="20" spans="2:2" x14ac:dyDescent="0.25">
      <c r="B20" t="s">
        <v>22</v>
      </c>
    </row>
    <row r="21" spans="2:2" x14ac:dyDescent="0.25">
      <c r="B21" t="s">
        <v>23</v>
      </c>
    </row>
  </sheetData>
  <phoneticPr fontId="6" type="noConversion"/>
  <pageMargins left="0.7" right="0.7" top="0.75" bottom="0.75" header="0.3" footer="0.3"/>
  <pageSetup orientation="portrait" horizontalDpi="1200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94A92-1577-45D9-8615-4AC08BBA95CF}">
  <sheetPr codeName="Sheet3">
    <tabColor theme="4" tint="0.79998168889431442"/>
  </sheetPr>
  <dimension ref="A1:I21"/>
  <sheetViews>
    <sheetView showGridLines="0" tabSelected="1" workbookViewId="0">
      <selection activeCell="B10" sqref="B10"/>
    </sheetView>
  </sheetViews>
  <sheetFormatPr baseColWidth="10" defaultColWidth="9.140625" defaultRowHeight="15" x14ac:dyDescent="0.25"/>
  <cols>
    <col min="1" max="1" width="21.140625" style="5" customWidth="1"/>
    <col min="2" max="2" width="21.5703125" style="5" bestFit="1" customWidth="1"/>
    <col min="3" max="3" width="22.85546875" style="5" customWidth="1"/>
    <col min="4" max="4" width="19.85546875" style="5" customWidth="1"/>
    <col min="5" max="5" width="10.28515625" style="5" customWidth="1"/>
    <col min="6" max="6" width="16.42578125" style="5" customWidth="1"/>
    <col min="7" max="7" width="9.140625" style="5" customWidth="1"/>
    <col min="8" max="16384" width="9.140625" style="5"/>
  </cols>
  <sheetData>
    <row r="1" spans="1:9" x14ac:dyDescent="0.25">
      <c r="B1" s="2" t="s">
        <v>1</v>
      </c>
      <c r="C1" s="2" t="s">
        <v>2</v>
      </c>
      <c r="F1" s="16" t="s">
        <v>24</v>
      </c>
    </row>
    <row r="2" spans="1:9" x14ac:dyDescent="0.25">
      <c r="A2" s="2" t="s">
        <v>0</v>
      </c>
      <c r="B2" s="5">
        <v>53.630401999999997</v>
      </c>
      <c r="C2" s="5">
        <v>9.9882299999999997</v>
      </c>
      <c r="F2" s="5" t="s">
        <v>1</v>
      </c>
      <c r="G2" s="5" t="s">
        <v>2</v>
      </c>
    </row>
    <row r="3" spans="1:9" x14ac:dyDescent="0.25">
      <c r="A3" s="2" t="s">
        <v>3</v>
      </c>
      <c r="B3" s="5">
        <v>51.614101409899902</v>
      </c>
      <c r="C3" s="5">
        <v>8.6163196563699902</v>
      </c>
      <c r="F3" s="13">
        <v>-37.951033416666668</v>
      </c>
      <c r="G3" s="14">
        <v>144.42486788888888</v>
      </c>
      <c r="H3" s="15"/>
    </row>
    <row r="4" spans="1:9" ht="15.75" thickBot="1" x14ac:dyDescent="0.3">
      <c r="A4" s="2"/>
      <c r="F4" s="13">
        <v>-37.652821138888889</v>
      </c>
      <c r="G4" s="14">
        <v>143.92649552777777</v>
      </c>
      <c r="H4" s="15"/>
    </row>
    <row r="5" spans="1:9" ht="16.5" thickTop="1" thickBot="1" x14ac:dyDescent="0.3">
      <c r="A5" s="2" t="s">
        <v>4</v>
      </c>
      <c r="B5" s="12" cm="1">
        <f t="array" ref="B5">distvincenty(B2,C2,B3,C3)</f>
        <v>242835.41200000001</v>
      </c>
      <c r="C5" s="5" t="s">
        <v>16</v>
      </c>
      <c r="D5" s="12">
        <f>MOD(DEGREES(ATAN2(COS(B2*PI()/180)*SIN(B3*PI()/180)-SIN(B2*PI()/180)*COS(B3*PI()/180)*COS(C3*PI()/180-C2*PI()/180),SIN(C3*PI()/180-C2*PI()/180)*COS(B2*PI()/180)))+360,360)</f>
        <v>202.05643895476655</v>
      </c>
      <c r="F5" s="5" t="s">
        <v>25</v>
      </c>
    </row>
    <row r="6" spans="1:9" ht="15.75" thickTop="1" x14ac:dyDescent="0.25">
      <c r="B6" s="1"/>
      <c r="D6" s="4"/>
      <c r="F6" s="13">
        <v>54972.271000000001</v>
      </c>
      <c r="G6" s="5" t="s">
        <v>15</v>
      </c>
      <c r="I6" s="13">
        <v>307.0951</v>
      </c>
    </row>
    <row r="7" spans="1:9" x14ac:dyDescent="0.25">
      <c r="A7" s="5" t="s">
        <v>7</v>
      </c>
    </row>
    <row r="8" spans="1:9" x14ac:dyDescent="0.25">
      <c r="A8" s="5" t="s">
        <v>8</v>
      </c>
      <c r="B8" s="3">
        <f>((B$5*39.3700787)/12)/5280</f>
        <v>150.89092931797546</v>
      </c>
    </row>
    <row r="9" spans="1:9" x14ac:dyDescent="0.25">
      <c r="A9" s="5" t="s">
        <v>9</v>
      </c>
      <c r="B9" s="3">
        <f>((B$5*39.3700787)/12)/6076.11549</f>
        <v>131.12063259990973</v>
      </c>
      <c r="D9" s="5">
        <v>53.630401999999997</v>
      </c>
      <c r="E9" s="5">
        <v>9.9882299999999997</v>
      </c>
    </row>
    <row r="10" spans="1:9" x14ac:dyDescent="0.25">
      <c r="A10" s="5" t="s">
        <v>10</v>
      </c>
      <c r="B10" s="3">
        <f>B5/1000</f>
        <v>242.83541200000002</v>
      </c>
      <c r="D10" s="5">
        <v>51.614101409899902</v>
      </c>
      <c r="E10" s="5">
        <v>8.6163196563699902</v>
      </c>
    </row>
    <row r="11" spans="1:9" x14ac:dyDescent="0.25">
      <c r="A11" s="5" t="s">
        <v>11</v>
      </c>
      <c r="B11" s="3">
        <f>(B$5*39.3700787)/12</f>
        <v>796704.10679891042</v>
      </c>
    </row>
    <row r="12" spans="1:9" x14ac:dyDescent="0.25">
      <c r="A12" s="5" t="s">
        <v>12</v>
      </c>
      <c r="B12" s="3">
        <f>B$5*39.3700787</f>
        <v>9560449.2815869246</v>
      </c>
    </row>
    <row r="15" spans="1:9" x14ac:dyDescent="0.25">
      <c r="A15" s="5" t="s">
        <v>17</v>
      </c>
    </row>
    <row r="16" spans="1:9" x14ac:dyDescent="0.25">
      <c r="B16" s="5" t="s">
        <v>18</v>
      </c>
    </row>
    <row r="17" spans="2:2" x14ac:dyDescent="0.25">
      <c r="B17" s="5" t="s">
        <v>19</v>
      </c>
    </row>
    <row r="18" spans="2:2" x14ac:dyDescent="0.25">
      <c r="B18" s="5" t="s">
        <v>20</v>
      </c>
    </row>
    <row r="19" spans="2:2" x14ac:dyDescent="0.25">
      <c r="B19" s="5" t="s">
        <v>21</v>
      </c>
    </row>
    <row r="20" spans="2:2" x14ac:dyDescent="0.25">
      <c r="B20" s="5" t="s">
        <v>22</v>
      </c>
    </row>
    <row r="21" spans="2:2" x14ac:dyDescent="0.25">
      <c r="B21" s="5" t="s">
        <v>23</v>
      </c>
    </row>
  </sheetData>
  <pageMargins left="0.7" right="0.7" top="0.75" bottom="0.75" header="0.3" footer="0.3"/>
  <pageSetup orientation="portrait" horizontalDpi="1200" verticalDpi="1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04B20-CA71-4327-9C4C-A6D2F9278697}">
  <sheetPr codeName="Sheet16"/>
  <dimension ref="B2:C8"/>
  <sheetViews>
    <sheetView showGridLines="0" workbookViewId="0">
      <selection activeCell="A3" sqref="A3"/>
    </sheetView>
  </sheetViews>
  <sheetFormatPr baseColWidth="10" defaultColWidth="8.85546875" defaultRowHeight="15" x14ac:dyDescent="0.25"/>
  <cols>
    <col min="1" max="1" width="3" style="20" customWidth="1"/>
    <col min="2" max="2" width="32.85546875" style="22" customWidth="1"/>
    <col min="3" max="3" width="64" style="20" customWidth="1"/>
    <col min="4" max="16384" width="8.85546875" style="20"/>
  </cols>
  <sheetData>
    <row r="2" spans="2:3" ht="18.75" x14ac:dyDescent="0.3">
      <c r="B2" s="19" t="s">
        <v>30</v>
      </c>
    </row>
    <row r="3" spans="2:3" x14ac:dyDescent="0.25">
      <c r="B3" s="6" t="s">
        <v>26</v>
      </c>
      <c r="C3" s="20" t="s">
        <v>31</v>
      </c>
    </row>
    <row r="4" spans="2:3" x14ac:dyDescent="0.25">
      <c r="B4" s="6" t="s">
        <v>27</v>
      </c>
      <c r="C4" s="20" t="s">
        <v>43</v>
      </c>
    </row>
    <row r="5" spans="2:3" x14ac:dyDescent="0.25">
      <c r="B5" s="6" t="s">
        <v>28</v>
      </c>
      <c r="C5" s="20" t="s">
        <v>32</v>
      </c>
    </row>
    <row r="6" spans="2:3" x14ac:dyDescent="0.25">
      <c r="B6" s="21"/>
    </row>
    <row r="7" spans="2:3" ht="18.75" x14ac:dyDescent="0.3">
      <c r="B7" s="19" t="s">
        <v>44</v>
      </c>
    </row>
    <row r="8" spans="2:3" x14ac:dyDescent="0.25">
      <c r="B8" s="7" t="s">
        <v>29</v>
      </c>
      <c r="C8" s="20" t="s">
        <v>45</v>
      </c>
    </row>
  </sheetData>
  <hyperlinks>
    <hyperlink ref="B3" r:id="rId1" xr:uid="{2DCFCAF0-4B3C-4479-8A66-B272452855BA}"/>
    <hyperlink ref="B5" r:id="rId2" xr:uid="{2C5841C2-C73C-44EA-947A-6CEFFC28B06B}"/>
    <hyperlink ref="B4" r:id="rId3" xr:uid="{14894F5C-E638-4BB4-97D8-7DC0DF07F714}"/>
    <hyperlink ref="B8" r:id="rId4" tooltip="Contextures Recommends" xr:uid="{6C2B4A0E-79DA-4C9E-B1EB-739F4679F9B3}"/>
  </hyperlinks>
  <pageMargins left="0.75" right="0.75" top="1" bottom="1" header="0.5" footer="0.5"/>
  <pageSetup orientation="portrait" r:id="rId5"/>
  <headerFooter alignWithMargins="0">
    <oddFooter>&amp;Lwww.contextures.com&amp;R&amp;D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Instructions</vt:lpstr>
      <vt:lpstr>Vincenty_Degree</vt:lpstr>
      <vt:lpstr>DecimalLatLong</vt:lpstr>
      <vt:lpstr>MyLinks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JLatham</dc:creator>
  <cp:lastModifiedBy>Matthias Staud</cp:lastModifiedBy>
  <dcterms:created xsi:type="dcterms:W3CDTF">2011-09-09T20:26:02Z</dcterms:created>
  <dcterms:modified xsi:type="dcterms:W3CDTF">2022-10-28T22:14:11Z</dcterms:modified>
</cp:coreProperties>
</file>